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354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'Data'!$A$2:$A$7</f>
            </numRef>
          </cat>
          <val>
            <numRef>
              <f>'Data'!$B$2:$B$7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Item</t>
        </is>
      </c>
      <c r="B1" s="1" t="inlineStr">
        <is>
          <t>Revenue (k)</t>
        </is>
      </c>
      <c r="C1" s="1" t="inlineStr">
        <is>
          <t>Cost (k)</t>
        </is>
      </c>
      <c r="D1" s="1" t="inlineStr">
        <is>
          <t>Margin (k)</t>
        </is>
      </c>
    </row>
    <row r="2">
      <c r="A2" t="inlineStr">
        <is>
          <t>Orbit CRM</t>
        </is>
      </c>
      <c r="B2" t="n">
        <v>82</v>
      </c>
      <c r="C2" t="n">
        <v>111</v>
      </c>
      <c r="D2">
        <f>ROUND(B2-C2,1)</f>
        <v/>
      </c>
    </row>
    <row r="3">
      <c r="A3" t="inlineStr">
        <is>
          <t>Engineering</t>
        </is>
      </c>
      <c r="B3" t="n">
        <v>537</v>
      </c>
      <c r="C3" t="n">
        <v>192</v>
      </c>
      <c r="D3">
        <f>ROUND(B3-C3,1)</f>
        <v/>
      </c>
    </row>
    <row r="4">
      <c r="A4" t="inlineStr">
        <is>
          <t>Orbit CRM</t>
        </is>
      </c>
      <c r="B4" t="n">
        <v>120</v>
      </c>
      <c r="C4" t="n">
        <v>82</v>
      </c>
      <c r="D4">
        <f>ROUND(B4-C4,1)</f>
        <v/>
      </c>
    </row>
    <row r="5">
      <c r="A5" t="inlineStr">
        <is>
          <t>Operations</t>
        </is>
      </c>
      <c r="B5" t="n">
        <v>443</v>
      </c>
      <c r="C5" t="n">
        <v>330</v>
      </c>
      <c r="D5">
        <f>ROUND(B5-C5,1)</f>
        <v/>
      </c>
    </row>
    <row r="6">
      <c r="A6" t="inlineStr">
        <is>
          <t>Vertex Payroll</t>
        </is>
      </c>
      <c r="B6" t="n">
        <v>137</v>
      </c>
      <c r="C6" t="n">
        <v>93</v>
      </c>
      <c r="D6">
        <f>ROUND(B6-C6,1)</f>
        <v/>
      </c>
    </row>
    <row r="7">
      <c r="A7" t="inlineStr">
        <is>
          <t>Operations</t>
        </is>
      </c>
      <c r="B7" t="n">
        <v>504</v>
      </c>
      <c r="C7" t="n">
        <v>77</v>
      </c>
      <c r="D7">
        <f>ROUND(B7-C7,1)</f>
        <v/>
      </c>
    </row>
    <row r="8">
      <c r="A8" s="2" t="inlineStr">
        <is>
          <t>Total</t>
        </is>
      </c>
      <c r="B8" s="2">
        <f>SUM(B2:B7)</f>
        <v/>
      </c>
      <c r="C8" s="2">
        <f>SUM(C2:C7)</f>
        <v/>
      </c>
      <c r="D8" s="2">
        <f>ROUND(B8-C8,1)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3" t="inlineStr">
        <is>
          <t>KPI</t>
        </is>
      </c>
      <c r="B1" s="3" t="n"/>
    </row>
    <row r="2">
      <c r="A2" t="inlineStr">
        <is>
          <t>Total revenue</t>
        </is>
      </c>
      <c r="B2">
        <f>SUM(Data!B2:B7)</f>
        <v/>
      </c>
    </row>
    <row r="3">
      <c r="A3" t="inlineStr">
        <is>
          <t>Total cost</t>
        </is>
      </c>
      <c r="B3">
        <f>SUM(Data!C2:C7)</f>
        <v/>
      </c>
    </row>
    <row r="4">
      <c r="A4" t="inlineStr">
        <is>
          <t>Total margin</t>
        </is>
      </c>
      <c r="B4">
        <f>ROUND(SUM(Data!B2:B7)-SUM(Data!C2:C7),1)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2026-10-08T13:32:33Z</dcterms:created>
  <dcterms:modified xmlns:dcterms="http://purl.org/dc/terms/" xmlns:xsi="http://www.w3.org/2001/XMLSchema-instance" xsi:type="dcterms:W3CDTF">2026-10-08T13:32:33Z</dcterms:modified>
</cp:coreProperties>
</file>