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354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vs Cost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'Data'!$A$2:$A$9</f>
            </numRef>
          </cat>
          <val>
            <numRef>
              <f>'Data'!$B$2:$B$9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 USD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Item</t>
        </is>
      </c>
      <c r="B1" s="1" t="inlineStr">
        <is>
          <t>Revenue (k)</t>
        </is>
      </c>
      <c r="C1" s="1" t="inlineStr">
        <is>
          <t>Cost (k)</t>
        </is>
      </c>
      <c r="D1" s="1" t="inlineStr">
        <is>
          <t>Margin (k)</t>
        </is>
      </c>
    </row>
    <row r="2">
      <c r="A2" t="inlineStr">
        <is>
          <t>Vertex Payroll</t>
        </is>
      </c>
      <c r="B2" t="n">
        <v>582</v>
      </c>
      <c r="C2" t="n">
        <v>294</v>
      </c>
      <c r="D2">
        <f>ROUND(B2-C2,1)</f>
        <v/>
      </c>
    </row>
    <row r="3">
      <c r="A3" t="inlineStr">
        <is>
          <t>Operations</t>
        </is>
      </c>
      <c r="B3" t="n">
        <v>390</v>
      </c>
      <c r="C3" t="n">
        <v>350</v>
      </c>
      <c r="D3">
        <f>ROUND(B3-C3,1)</f>
        <v/>
      </c>
    </row>
    <row r="4">
      <c r="A4" t="inlineStr">
        <is>
          <t>Vertex Payroll</t>
        </is>
      </c>
      <c r="B4" t="n">
        <v>441</v>
      </c>
      <c r="C4" t="n">
        <v>199</v>
      </c>
      <c r="D4">
        <f>ROUND(B4-C4,1)</f>
        <v/>
      </c>
    </row>
    <row r="5">
      <c r="A5" t="inlineStr">
        <is>
          <t>Operations</t>
        </is>
      </c>
      <c r="B5" t="n">
        <v>213</v>
      </c>
      <c r="C5" t="n">
        <v>307</v>
      </c>
      <c r="D5">
        <f>ROUND(B5-C5,1)</f>
        <v/>
      </c>
    </row>
    <row r="6">
      <c r="A6" t="inlineStr">
        <is>
          <t>Orbit CRM</t>
        </is>
      </c>
      <c r="B6" t="n">
        <v>101</v>
      </c>
      <c r="C6" t="n">
        <v>144</v>
      </c>
      <c r="D6">
        <f>ROUND(B6-C6,1)</f>
        <v/>
      </c>
    </row>
    <row r="7">
      <c r="A7" t="inlineStr">
        <is>
          <t>Marketing</t>
        </is>
      </c>
      <c r="B7" t="n">
        <v>97</v>
      </c>
      <c r="C7" t="n">
        <v>184</v>
      </c>
      <c r="D7">
        <f>ROUND(B7-C7,1)</f>
        <v/>
      </c>
    </row>
    <row r="8">
      <c r="A8" t="inlineStr">
        <is>
          <t>Orbit CRM</t>
        </is>
      </c>
      <c r="B8" t="n">
        <v>552</v>
      </c>
      <c r="C8" t="n">
        <v>295</v>
      </c>
      <c r="D8">
        <f>ROUND(B8-C8,1)</f>
        <v/>
      </c>
    </row>
    <row r="9">
      <c r="A9" t="inlineStr">
        <is>
          <t>Marketing</t>
        </is>
      </c>
      <c r="B9" t="n">
        <v>259</v>
      </c>
      <c r="C9" t="n">
        <v>327</v>
      </c>
      <c r="D9">
        <f>ROUND(B9-C9,1)</f>
        <v/>
      </c>
    </row>
    <row r="10">
      <c r="A10" s="2" t="inlineStr">
        <is>
          <t>Total</t>
        </is>
      </c>
      <c r="B10" s="2">
        <f>SUM(B2:B9)</f>
        <v/>
      </c>
      <c r="C10" s="2">
        <f>SUM(C2:C9)</f>
        <v/>
      </c>
      <c r="D10" s="2">
        <f>ROUND(B10-C10,1)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</cols>
  <sheetData>
    <row r="1">
      <c r="A1" s="3" t="inlineStr">
        <is>
          <t>KPI</t>
        </is>
      </c>
      <c r="B1" s="3" t="n"/>
    </row>
    <row r="2">
      <c r="A2" t="inlineStr">
        <is>
          <t>Total revenue</t>
        </is>
      </c>
      <c r="B2">
        <f>SUM(Data!B2:B9)</f>
        <v/>
      </c>
    </row>
    <row r="3">
      <c r="A3" t="inlineStr">
        <is>
          <t>Total cost</t>
        </is>
      </c>
      <c r="B3">
        <f>SUM(Data!C2:C9)</f>
        <v/>
      </c>
    </row>
    <row r="4">
      <c r="A4" t="inlineStr">
        <is>
          <t>Total margin</t>
        </is>
      </c>
      <c r="B4">
        <f>ROUND(SUM(Data!B2:B9)-SUM(Data!C2:C9),1)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2026-10-08T13:33:08Z</dcterms:created>
  <dcterms:modified xmlns:dcterms="http://purl.org/dc/terms/" xmlns:xsi="http://www.w3.org/2001/XMLSchema-instance" xsi:type="dcterms:W3CDTF">2026-10-08T13:33:08Z</dcterms:modified>
</cp:coreProperties>
</file>